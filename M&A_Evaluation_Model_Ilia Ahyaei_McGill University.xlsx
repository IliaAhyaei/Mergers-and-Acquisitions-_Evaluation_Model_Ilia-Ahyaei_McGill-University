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inclusion/Documents/Uni_Undergrad/Martlet_ Insights/"/>
    </mc:Choice>
  </mc:AlternateContent>
  <xr:revisionPtr revIDLastSave="0" documentId="8_{7D3468C8-0A2B-7B49-8D41-19DC38C378B8}" xr6:coauthVersionLast="47" xr6:coauthVersionMax="47" xr10:uidLastSave="{00000000-0000-0000-0000-000000000000}"/>
  <bookViews>
    <workbookView xWindow="0" yWindow="780" windowWidth="34200" windowHeight="19860" xr2:uid="{00000000-000D-0000-FFFF-FFFF00000000}"/>
  </bookViews>
  <sheets>
    <sheet name="Inpu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19" i="1"/>
  <c r="E18" i="1"/>
  <c r="E11" i="1"/>
  <c r="F6" i="1"/>
  <c r="F7" i="1" s="1"/>
  <c r="E26" i="1" s="1"/>
  <c r="B17" i="1"/>
  <c r="E13" i="1"/>
  <c r="E25" i="1" s="1"/>
  <c r="F8" i="1"/>
  <c r="F5" i="1"/>
  <c r="F4" i="1"/>
  <c r="F3" i="1"/>
  <c r="E20" i="1" l="1"/>
  <c r="E21" i="1" s="1"/>
  <c r="E24" i="1" s="1"/>
</calcChain>
</file>

<file path=xl/sharedStrings.xml><?xml version="1.0" encoding="utf-8"?>
<sst xmlns="http://schemas.openxmlformats.org/spreadsheetml/2006/main" count="54" uniqueCount="46">
  <si>
    <t>Item</t>
  </si>
  <si>
    <t>Value</t>
  </si>
  <si>
    <t>Purchase Price</t>
  </si>
  <si>
    <t>Premium (%)</t>
  </si>
  <si>
    <t>Offer Type (Cash/Stock/Mixed)</t>
  </si>
  <si>
    <t>Acquirer Shares Outstanding</t>
  </si>
  <si>
    <t>Target Shares Outstanding</t>
  </si>
  <si>
    <t>Acquirer Share Price</t>
  </si>
  <si>
    <t>Target Share Price</t>
  </si>
  <si>
    <t>Exchange Ratio</t>
  </si>
  <si>
    <t>Cost of Debt (%)</t>
  </si>
  <si>
    <t>Tax Rate (%)</t>
  </si>
  <si>
    <t>Seller Yield (%)</t>
  </si>
  <si>
    <t>Acquirer EPS</t>
  </si>
  <si>
    <t>Target EPS</t>
  </si>
  <si>
    <t>Synergies ($)</t>
  </si>
  <si>
    <t>Metric</t>
  </si>
  <si>
    <t>Formula / Value</t>
  </si>
  <si>
    <t>Cash Portion</t>
  </si>
  <si>
    <t>Debt Portion</t>
  </si>
  <si>
    <t>Stock Portion</t>
  </si>
  <si>
    <t>After-Tax Cost of Debt</t>
  </si>
  <si>
    <t>Weighted Cost of Acquisition</t>
  </si>
  <si>
    <t>Accretive? (Yes/No)</t>
  </si>
  <si>
    <t>Fair Value Net Assets</t>
  </si>
  <si>
    <t>Goodwill</t>
  </si>
  <si>
    <t>Identifiable Intangibles</t>
  </si>
  <si>
    <t>Liabilities Assumed</t>
  </si>
  <si>
    <t>Formula</t>
  </si>
  <si>
    <t>Pro Forma Shares</t>
  </si>
  <si>
    <t>Pro Forma Net Income</t>
  </si>
  <si>
    <t>Pro Forma EPS</t>
  </si>
  <si>
    <t>Accretion/Dilution %</t>
  </si>
  <si>
    <t>Summary Metric</t>
  </si>
  <si>
    <t>Accretive/Dilutive</t>
  </si>
  <si>
    <t>Total Goodwill</t>
  </si>
  <si>
    <t>Synergies Included</t>
  </si>
  <si>
    <t>After-tax synergies</t>
  </si>
  <si>
    <t>Value (Input)</t>
  </si>
  <si>
    <t>-</t>
  </si>
  <si>
    <t>Mixed</t>
  </si>
  <si>
    <t>PPA &amp; Goodwill</t>
  </si>
  <si>
    <t>Deal Financing</t>
  </si>
  <si>
    <t>Inputs</t>
  </si>
  <si>
    <t>% (Inputs)</t>
  </si>
  <si>
    <t>The numbers in this evaluation model are sample figures and can be changed to reflect the intended company's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</si>
</sst>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0"/>
      <name val="Times New Roman"/>
      <family val="1"/>
    </font>
    <font>
      <sz val="14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A9B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3" borderId="0" xfId="0" applyFont="1" applyFill="1" applyAlignment="1">
      <alignment horizontal="center" vertical="center"/>
    </xf>
    <xf numFmtId="0" fontId="3" fillId="3" borderId="0" xfId="0" applyFont="1" applyFill="1"/>
    <xf numFmtId="9" fontId="3" fillId="3" borderId="0" xfId="3" applyFont="1" applyFill="1" applyBorder="1" applyAlignment="1">
      <alignment horizontal="center" vertical="center"/>
    </xf>
    <xf numFmtId="44" fontId="3" fillId="3" borderId="0" xfId="0" applyNumberFormat="1" applyFont="1" applyFill="1" applyAlignment="1">
      <alignment horizontal="center" vertical="center"/>
    </xf>
    <xf numFmtId="44" fontId="3" fillId="3" borderId="0" xfId="0" applyNumberFormat="1" applyFont="1" applyFill="1" applyAlignment="1">
      <alignment vertical="center"/>
    </xf>
    <xf numFmtId="2" fontId="3" fillId="3" borderId="0" xfId="0" applyNumberFormat="1" applyFont="1" applyFill="1" applyAlignment="1">
      <alignment vertical="center"/>
    </xf>
    <xf numFmtId="9" fontId="3" fillId="3" borderId="0" xfId="3" applyFont="1" applyFill="1" applyAlignment="1">
      <alignment vertical="center"/>
    </xf>
    <xf numFmtId="44" fontId="3" fillId="3" borderId="0" xfId="0" applyNumberFormat="1" applyFont="1" applyFill="1"/>
    <xf numFmtId="44" fontId="3" fillId="3" borderId="0" xfId="2" applyFont="1" applyFill="1" applyBorder="1" applyAlignment="1">
      <alignment horizontal="right" vertical="center"/>
    </xf>
    <xf numFmtId="9" fontId="3" fillId="3" borderId="0" xfId="3" applyFont="1" applyFill="1" applyBorder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10" fontId="3" fillId="3" borderId="0" xfId="3" applyNumberFormat="1" applyFont="1" applyFill="1" applyBorder="1" applyAlignment="1">
      <alignment horizontal="right" vertical="center"/>
    </xf>
    <xf numFmtId="10" fontId="3" fillId="3" borderId="0" xfId="0" applyNumberFormat="1" applyFont="1" applyFill="1" applyAlignment="1">
      <alignment horizontal="right" vertical="center"/>
    </xf>
    <xf numFmtId="43" fontId="3" fillId="3" borderId="0" xfId="1" applyFont="1" applyFill="1" applyBorder="1" applyAlignment="1">
      <alignment horizontal="right" vertical="center"/>
    </xf>
    <xf numFmtId="44" fontId="3" fillId="3" borderId="0" xfId="2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6" borderId="0" xfId="0" applyFon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/>
    </xf>
    <xf numFmtId="43" fontId="3" fillId="3" borderId="0" xfId="0" applyNumberFormat="1" applyFont="1" applyFill="1" applyAlignment="1">
      <alignment vertical="center"/>
    </xf>
    <xf numFmtId="10" fontId="3" fillId="3" borderId="0" xfId="3" applyNumberFormat="1" applyFont="1" applyFill="1"/>
    <xf numFmtId="2" fontId="3" fillId="3" borderId="0" xfId="0" applyNumberFormat="1" applyFont="1" applyFill="1" applyAlignment="1">
      <alignment horizontal="right" vertical="center"/>
    </xf>
    <xf numFmtId="0" fontId="2" fillId="7" borderId="0" xfId="0" applyFont="1" applyFill="1" applyAlignment="1">
      <alignment vertical="center"/>
    </xf>
    <xf numFmtId="0" fontId="2" fillId="7" borderId="0" xfId="0" applyFont="1" applyFill="1"/>
    <xf numFmtId="0" fontId="2" fillId="7" borderId="0" xfId="0" applyFont="1" applyFill="1" applyAlignment="1">
      <alignment horizontal="left" vertical="center"/>
    </xf>
    <xf numFmtId="44" fontId="2" fillId="7" borderId="0" xfId="2" applyFont="1" applyFill="1" applyBorder="1" applyAlignment="1">
      <alignment horizontal="right" vertical="center"/>
    </xf>
    <xf numFmtId="10" fontId="2" fillId="7" borderId="0" xfId="3" applyNumberFormat="1" applyFont="1" applyFill="1" applyBorder="1" applyAlignment="1">
      <alignment horizontal="right" vertical="center"/>
    </xf>
    <xf numFmtId="0" fontId="2" fillId="7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5" fillId="5" borderId="0" xfId="0" applyFont="1" applyFill="1" applyAlignment="1">
      <alignment horizontal="center" vertical="center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colors>
    <mruColors>
      <color rgb="FF99A9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26"/>
  <sheetViews>
    <sheetView tabSelected="1" zoomScale="125" zoomScaleNormal="200" workbookViewId="0">
      <selection activeCell="K7" sqref="K7"/>
    </sheetView>
  </sheetViews>
  <sheetFormatPr baseColWidth="10" defaultColWidth="8.83203125" defaultRowHeight="15" x14ac:dyDescent="0.2"/>
  <cols>
    <col min="1" max="1" width="24.33203125" customWidth="1"/>
    <col min="2" max="2" width="21.5" customWidth="1"/>
    <col min="3" max="3" width="2.1640625" style="18" customWidth="1"/>
    <col min="4" max="4" width="26.5" customWidth="1"/>
    <col min="5" max="5" width="18.6640625" customWidth="1"/>
    <col min="6" max="6" width="18.83203125" customWidth="1"/>
    <col min="7" max="7" width="2.33203125" style="18" customWidth="1"/>
    <col min="8" max="11" width="8.83203125" style="18"/>
  </cols>
  <sheetData>
    <row r="1" spans="1:51" s="16" customFormat="1" ht="22" customHeight="1" x14ac:dyDescent="0.2">
      <c r="A1" s="31" t="s">
        <v>43</v>
      </c>
      <c r="B1" s="31"/>
      <c r="C1" s="33"/>
      <c r="D1" s="31" t="s">
        <v>42</v>
      </c>
      <c r="E1" s="31"/>
      <c r="F1" s="31"/>
      <c r="G1" s="33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</row>
    <row r="2" spans="1:51" ht="22" customHeight="1" x14ac:dyDescent="0.2">
      <c r="A2" s="21" t="s">
        <v>0</v>
      </c>
      <c r="B2" s="21" t="s">
        <v>38</v>
      </c>
      <c r="C2" s="33"/>
      <c r="D2" s="20" t="s">
        <v>16</v>
      </c>
      <c r="E2" s="20" t="s">
        <v>44</v>
      </c>
      <c r="F2" s="20" t="s">
        <v>17</v>
      </c>
      <c r="G2" s="33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</row>
    <row r="3" spans="1:51" ht="22" customHeight="1" x14ac:dyDescent="0.2">
      <c r="A3" s="25" t="s">
        <v>2</v>
      </c>
      <c r="B3" s="9">
        <v>500000000</v>
      </c>
      <c r="C3" s="33"/>
      <c r="D3" s="26" t="s">
        <v>18</v>
      </c>
      <c r="E3" s="3">
        <v>0.3</v>
      </c>
      <c r="F3" s="28">
        <f xml:space="preserve"> B3 * E3</f>
        <v>150000000</v>
      </c>
      <c r="G3" s="33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</row>
    <row r="4" spans="1:51" ht="22" customHeight="1" x14ac:dyDescent="0.2">
      <c r="A4" s="25" t="s">
        <v>3</v>
      </c>
      <c r="B4" s="10">
        <v>0.25</v>
      </c>
      <c r="C4" s="33"/>
      <c r="D4" s="26" t="s">
        <v>19</v>
      </c>
      <c r="E4" s="3">
        <v>0.4</v>
      </c>
      <c r="F4" s="28">
        <f xml:space="preserve"> B3 * E4</f>
        <v>200000000</v>
      </c>
      <c r="G4" s="33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</row>
    <row r="5" spans="1:51" ht="22" customHeight="1" x14ac:dyDescent="0.2">
      <c r="A5" s="25" t="s">
        <v>4</v>
      </c>
      <c r="B5" s="11" t="s">
        <v>40</v>
      </c>
      <c r="C5" s="33"/>
      <c r="D5" s="26" t="s">
        <v>20</v>
      </c>
      <c r="E5" s="3">
        <v>0.3</v>
      </c>
      <c r="F5" s="28">
        <f xml:space="preserve"> B3 * E5</f>
        <v>150000000</v>
      </c>
      <c r="G5" s="33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</row>
    <row r="6" spans="1:51" ht="22" customHeight="1" x14ac:dyDescent="0.2">
      <c r="A6" s="25" t="s">
        <v>5</v>
      </c>
      <c r="B6" s="14">
        <v>200000000</v>
      </c>
      <c r="C6" s="33"/>
      <c r="D6" s="26" t="s">
        <v>21</v>
      </c>
      <c r="E6" s="1" t="s">
        <v>39</v>
      </c>
      <c r="F6" s="29">
        <f xml:space="preserve"> B11 * (1 - B12)</f>
        <v>4.4999999999999998E-2</v>
      </c>
      <c r="G6" s="33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</row>
    <row r="7" spans="1:51" ht="22" customHeight="1" x14ac:dyDescent="0.2">
      <c r="A7" s="25" t="s">
        <v>6</v>
      </c>
      <c r="B7" s="14">
        <v>40000000</v>
      </c>
      <c r="C7" s="33"/>
      <c r="D7" s="26" t="s">
        <v>22</v>
      </c>
      <c r="E7" s="1" t="s">
        <v>39</v>
      </c>
      <c r="F7" s="29">
        <f xml:space="preserve"> (E3 * B13) + (E4 * F6)</f>
        <v>0.03</v>
      </c>
      <c r="G7" s="33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</row>
    <row r="8" spans="1:51" ht="22" customHeight="1" x14ac:dyDescent="0.2">
      <c r="A8" s="25" t="s">
        <v>7</v>
      </c>
      <c r="B8" s="9">
        <v>25</v>
      </c>
      <c r="C8" s="33"/>
      <c r="D8" s="26" t="s">
        <v>23</v>
      </c>
      <c r="E8" s="1" t="s">
        <v>39</v>
      </c>
      <c r="F8" s="30" t="str">
        <f xml:space="preserve"> IF(F20 &gt; B14, "Yes", "No")</f>
        <v>No</v>
      </c>
      <c r="G8" s="33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</row>
    <row r="9" spans="1:51" ht="22" customHeight="1" x14ac:dyDescent="0.2">
      <c r="A9" s="25" t="s">
        <v>8</v>
      </c>
      <c r="B9" s="9">
        <v>10</v>
      </c>
      <c r="C9" s="33"/>
      <c r="D9" s="31" t="s">
        <v>41</v>
      </c>
      <c r="E9" s="31"/>
      <c r="F9" s="32"/>
      <c r="G9" s="33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</row>
    <row r="10" spans="1:51" ht="22" customHeight="1" x14ac:dyDescent="0.2">
      <c r="A10" s="25" t="s">
        <v>9</v>
      </c>
      <c r="B10" s="24">
        <v>0.4</v>
      </c>
      <c r="C10" s="33"/>
      <c r="D10" s="20" t="s">
        <v>0</v>
      </c>
      <c r="E10" s="20" t="s">
        <v>1</v>
      </c>
      <c r="F10" s="32"/>
      <c r="G10" s="33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</row>
    <row r="11" spans="1:51" ht="22" customHeight="1" x14ac:dyDescent="0.2">
      <c r="A11" s="25" t="s">
        <v>10</v>
      </c>
      <c r="B11" s="12">
        <v>0.06</v>
      </c>
      <c r="C11" s="33"/>
      <c r="D11" s="25" t="s">
        <v>2</v>
      </c>
      <c r="E11" s="4">
        <f>B3</f>
        <v>500000000</v>
      </c>
      <c r="F11" s="32"/>
      <c r="G11" s="33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</row>
    <row r="12" spans="1:51" ht="22" customHeight="1" x14ac:dyDescent="0.2">
      <c r="A12" s="25" t="s">
        <v>11</v>
      </c>
      <c r="B12" s="12">
        <v>0.25</v>
      </c>
      <c r="C12" s="33"/>
      <c r="D12" s="25" t="s">
        <v>24</v>
      </c>
      <c r="E12" s="15">
        <v>300000000</v>
      </c>
      <c r="F12" s="32"/>
      <c r="G12" s="33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</row>
    <row r="13" spans="1:51" ht="22" customHeight="1" x14ac:dyDescent="0.2">
      <c r="A13" s="25" t="s">
        <v>12</v>
      </c>
      <c r="B13" s="13">
        <v>0.04</v>
      </c>
      <c r="C13" s="33"/>
      <c r="D13" s="25" t="s">
        <v>25</v>
      </c>
      <c r="E13" s="4">
        <f xml:space="preserve"> B3 - E12</f>
        <v>200000000</v>
      </c>
      <c r="F13" s="32"/>
      <c r="G13" s="33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</row>
    <row r="14" spans="1:51" ht="22" customHeight="1" x14ac:dyDescent="0.2">
      <c r="A14" s="25" t="s">
        <v>13</v>
      </c>
      <c r="B14" s="9">
        <v>2.1</v>
      </c>
      <c r="C14" s="33"/>
      <c r="D14" s="25" t="s">
        <v>26</v>
      </c>
      <c r="E14" s="1"/>
      <c r="F14" s="32"/>
      <c r="G14" s="33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</row>
    <row r="15" spans="1:51" ht="22" customHeight="1" x14ac:dyDescent="0.2">
      <c r="A15" s="25" t="s">
        <v>14</v>
      </c>
      <c r="B15" s="9">
        <v>1.2</v>
      </c>
      <c r="C15" s="33"/>
      <c r="D15" s="25" t="s">
        <v>27</v>
      </c>
      <c r="E15" s="1"/>
      <c r="F15" s="32"/>
      <c r="G15" s="33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</row>
    <row r="16" spans="1:51" ht="22" customHeight="1" x14ac:dyDescent="0.2">
      <c r="A16" s="25" t="s">
        <v>15</v>
      </c>
      <c r="B16" s="9">
        <v>30000000</v>
      </c>
      <c r="C16" s="33"/>
      <c r="D16" s="31" t="s">
        <v>31</v>
      </c>
      <c r="E16" s="31"/>
      <c r="F16" s="32"/>
      <c r="G16" s="33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</row>
    <row r="17" spans="1:51" x14ac:dyDescent="0.2">
      <c r="A17" s="25" t="s">
        <v>37</v>
      </c>
      <c r="B17" s="9">
        <f>B16*(1-B12)</f>
        <v>22500000</v>
      </c>
      <c r="C17" s="33"/>
      <c r="D17" s="17" t="s">
        <v>16</v>
      </c>
      <c r="E17" s="17" t="s">
        <v>28</v>
      </c>
      <c r="F17" s="32"/>
      <c r="G17" s="33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</row>
    <row r="18" spans="1:51" x14ac:dyDescent="0.2">
      <c r="A18" s="35" t="s">
        <v>45</v>
      </c>
      <c r="B18" s="35"/>
      <c r="C18" s="33"/>
      <c r="D18" s="25" t="s">
        <v>29</v>
      </c>
      <c r="E18" s="22">
        <f xml:space="preserve"> B6 + (B7 * B10)</f>
        <v>216000000</v>
      </c>
      <c r="F18" s="32"/>
      <c r="G18" s="33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</row>
    <row r="19" spans="1:51" x14ac:dyDescent="0.2">
      <c r="A19" s="35"/>
      <c r="B19" s="35"/>
      <c r="C19" s="33"/>
      <c r="D19" s="25" t="s">
        <v>30</v>
      </c>
      <c r="E19" s="5">
        <f xml:space="preserve"> (B14 * B6) + (B15 * B7) + B17</f>
        <v>490500000</v>
      </c>
      <c r="F19" s="32"/>
      <c r="G19" s="33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</row>
    <row r="20" spans="1:51" x14ac:dyDescent="0.2">
      <c r="A20" s="35"/>
      <c r="B20" s="35"/>
      <c r="C20" s="33"/>
      <c r="D20" s="25" t="s">
        <v>31</v>
      </c>
      <c r="E20" s="6">
        <f xml:space="preserve"> E19 / E18</f>
        <v>2.2708333333333335</v>
      </c>
      <c r="F20" s="32"/>
      <c r="G20" s="33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</row>
    <row r="21" spans="1:51" x14ac:dyDescent="0.2">
      <c r="A21" s="35"/>
      <c r="B21" s="35"/>
      <c r="C21" s="33"/>
      <c r="D21" s="25" t="s">
        <v>32</v>
      </c>
      <c r="E21" s="7">
        <f xml:space="preserve"> (E20 / B14) - 1</f>
        <v>8.1349206349206282E-2</v>
      </c>
      <c r="F21" s="32"/>
      <c r="G21" s="33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</row>
    <row r="22" spans="1:51" x14ac:dyDescent="0.2">
      <c r="A22" s="35"/>
      <c r="B22" s="35"/>
      <c r="C22" s="33"/>
      <c r="D22" s="34"/>
      <c r="E22" s="34"/>
      <c r="F22" s="32"/>
      <c r="G22" s="33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</row>
    <row r="23" spans="1:51" x14ac:dyDescent="0.2">
      <c r="A23" s="35"/>
      <c r="B23" s="35"/>
      <c r="C23" s="33"/>
      <c r="D23" s="17" t="s">
        <v>33</v>
      </c>
      <c r="E23" s="17" t="s">
        <v>1</v>
      </c>
      <c r="F23" s="32"/>
      <c r="G23" s="33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</row>
    <row r="24" spans="1:51" x14ac:dyDescent="0.2">
      <c r="A24" s="35"/>
      <c r="B24" s="35"/>
      <c r="C24" s="33"/>
      <c r="D24" s="27" t="s">
        <v>34</v>
      </c>
      <c r="E24" s="2" t="str">
        <f xml:space="preserve"> IF(E21 &gt; 0, "Accretive", "Dilutive")</f>
        <v>Accretive</v>
      </c>
      <c r="F24" s="32"/>
      <c r="G24" s="33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</row>
    <row r="25" spans="1:51" x14ac:dyDescent="0.2">
      <c r="A25" s="35"/>
      <c r="B25" s="35"/>
      <c r="C25" s="33"/>
      <c r="D25" s="27" t="s">
        <v>35</v>
      </c>
      <c r="E25" s="8">
        <f xml:space="preserve"> E13</f>
        <v>200000000</v>
      </c>
      <c r="F25" s="32"/>
      <c r="G25" s="33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</row>
    <row r="26" spans="1:51" x14ac:dyDescent="0.2">
      <c r="A26" s="35"/>
      <c r="B26" s="35"/>
      <c r="C26" s="33"/>
      <c r="D26" s="27" t="s">
        <v>22</v>
      </c>
      <c r="E26" s="23">
        <f xml:space="preserve"> F7</f>
        <v>0.03</v>
      </c>
      <c r="F26" s="32"/>
      <c r="G26" s="33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</row>
    <row r="27" spans="1:51" x14ac:dyDescent="0.2">
      <c r="A27" s="35"/>
      <c r="B27" s="35"/>
      <c r="C27" s="33"/>
      <c r="D27" s="27" t="s">
        <v>36</v>
      </c>
      <c r="E27" s="8">
        <f xml:space="preserve"> B16 + B17</f>
        <v>52500000</v>
      </c>
      <c r="F27" s="32"/>
      <c r="G27" s="33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</row>
    <row r="28" spans="1:51" s="18" customFormat="1" x14ac:dyDescent="0.2">
      <c r="A28" s="33"/>
      <c r="B28" s="33"/>
      <c r="C28" s="33"/>
      <c r="D28" s="33"/>
      <c r="E28" s="33"/>
      <c r="F28" s="33"/>
    </row>
    <row r="29" spans="1:51" s="18" customFormat="1" x14ac:dyDescent="0.2">
      <c r="A29" s="33"/>
      <c r="B29" s="33"/>
      <c r="C29" s="33"/>
      <c r="D29" s="33"/>
      <c r="E29" s="33"/>
      <c r="F29" s="33"/>
    </row>
    <row r="30" spans="1:51" s="18" customFormat="1" x14ac:dyDescent="0.2">
      <c r="A30" s="33"/>
      <c r="B30" s="33"/>
      <c r="C30" s="33"/>
      <c r="D30" s="33"/>
      <c r="E30" s="33"/>
      <c r="F30" s="33"/>
    </row>
    <row r="31" spans="1:51" s="18" customFormat="1" x14ac:dyDescent="0.2">
      <c r="A31" s="33"/>
      <c r="B31" s="33"/>
      <c r="C31" s="33"/>
      <c r="D31" s="33"/>
      <c r="E31" s="33"/>
      <c r="F31" s="33"/>
    </row>
    <row r="32" spans="1:51" s="18" customFormat="1" x14ac:dyDescent="0.2">
      <c r="A32" s="33"/>
      <c r="B32" s="33"/>
      <c r="C32" s="33"/>
      <c r="D32" s="33"/>
      <c r="E32" s="33"/>
      <c r="F32" s="33"/>
    </row>
    <row r="33" spans="1:51" s="18" customFormat="1" x14ac:dyDescent="0.2"/>
    <row r="34" spans="1:51" s="18" customFormat="1" x14ac:dyDescent="0.2"/>
    <row r="35" spans="1:51" s="18" customFormat="1" x14ac:dyDescent="0.2"/>
    <row r="36" spans="1:51" s="18" customFormat="1" x14ac:dyDescent="0.2"/>
    <row r="37" spans="1:51" s="18" customFormat="1" x14ac:dyDescent="0.2"/>
    <row r="38" spans="1:51" s="18" customFormat="1" x14ac:dyDescent="0.2"/>
    <row r="39" spans="1:51" s="18" customFormat="1" x14ac:dyDescent="0.2"/>
    <row r="40" spans="1:51" s="18" customFormat="1" x14ac:dyDescent="0.2"/>
    <row r="41" spans="1:51" s="18" customFormat="1" x14ac:dyDescent="0.2"/>
    <row r="42" spans="1:51" s="18" customFormat="1" x14ac:dyDescent="0.2"/>
    <row r="43" spans="1:51" x14ac:dyDescent="0.2">
      <c r="A43" s="18"/>
      <c r="B43" s="18"/>
      <c r="D43" s="18"/>
      <c r="E43" s="18"/>
      <c r="F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</row>
    <row r="44" spans="1:51" x14ac:dyDescent="0.2">
      <c r="A44" s="18"/>
      <c r="B44" s="18"/>
      <c r="D44" s="18"/>
      <c r="E44" s="18"/>
      <c r="F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</row>
    <row r="45" spans="1:51" x14ac:dyDescent="0.2">
      <c r="A45" s="18"/>
      <c r="B45" s="18"/>
      <c r="D45" s="18"/>
      <c r="E45" s="18"/>
      <c r="F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</row>
    <row r="46" spans="1:51" x14ac:dyDescent="0.2">
      <c r="A46" s="18"/>
      <c r="B46" s="18"/>
      <c r="D46" s="18"/>
      <c r="E46" s="18"/>
      <c r="F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</row>
    <row r="47" spans="1:51" x14ac:dyDescent="0.2">
      <c r="A47" s="18"/>
      <c r="B47" s="18"/>
      <c r="D47" s="18"/>
      <c r="E47" s="18"/>
      <c r="F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</row>
    <row r="48" spans="1:51" x14ac:dyDescent="0.2">
      <c r="A48" s="18"/>
      <c r="B48" s="18"/>
      <c r="D48" s="18"/>
      <c r="E48" s="18"/>
      <c r="F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</row>
    <row r="49" spans="1:51" x14ac:dyDescent="0.2">
      <c r="A49" s="18"/>
      <c r="B49" s="18"/>
      <c r="D49" s="18"/>
      <c r="E49" s="18"/>
      <c r="F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</row>
    <row r="50" spans="1:51" x14ac:dyDescent="0.2">
      <c r="A50" s="18"/>
      <c r="B50" s="18"/>
      <c r="D50" s="18"/>
      <c r="E50" s="18"/>
      <c r="F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</row>
    <row r="51" spans="1:51" x14ac:dyDescent="0.2">
      <c r="A51" s="18"/>
      <c r="B51" s="18"/>
      <c r="D51" s="18"/>
      <c r="E51" s="18"/>
      <c r="F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</row>
    <row r="52" spans="1:51" x14ac:dyDescent="0.2">
      <c r="A52" s="18"/>
      <c r="B52" s="18"/>
      <c r="D52" s="18"/>
      <c r="E52" s="18"/>
      <c r="F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</row>
    <row r="53" spans="1:51" x14ac:dyDescent="0.2">
      <c r="A53" s="18"/>
      <c r="B53" s="18"/>
      <c r="D53" s="18"/>
      <c r="E53" s="18"/>
      <c r="F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</row>
    <row r="54" spans="1:51" x14ac:dyDescent="0.2">
      <c r="A54" s="18"/>
      <c r="B54" s="18"/>
      <c r="D54" s="18"/>
      <c r="E54" s="18"/>
      <c r="F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</row>
    <row r="55" spans="1:51" x14ac:dyDescent="0.2">
      <c r="A55" s="18"/>
      <c r="B55" s="18"/>
      <c r="D55" s="18"/>
      <c r="E55" s="18"/>
      <c r="F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</row>
    <row r="56" spans="1:51" x14ac:dyDescent="0.2">
      <c r="A56" s="18"/>
      <c r="B56" s="18"/>
      <c r="D56" s="18"/>
      <c r="E56" s="18"/>
      <c r="F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</row>
    <row r="57" spans="1:51" x14ac:dyDescent="0.2">
      <c r="A57" s="18"/>
      <c r="B57" s="18"/>
      <c r="D57" s="18"/>
      <c r="E57" s="18"/>
      <c r="F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</row>
    <row r="58" spans="1:51" x14ac:dyDescent="0.2">
      <c r="A58" s="18"/>
      <c r="B58" s="18"/>
      <c r="D58" s="18"/>
      <c r="E58" s="18"/>
      <c r="F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</row>
    <row r="59" spans="1:51" x14ac:dyDescent="0.2">
      <c r="A59" s="18"/>
      <c r="B59" s="18"/>
      <c r="D59" s="18"/>
      <c r="E59" s="18"/>
      <c r="F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</row>
    <row r="60" spans="1:51" x14ac:dyDescent="0.2">
      <c r="A60" s="18"/>
      <c r="B60" s="18"/>
      <c r="D60" s="18"/>
      <c r="E60" s="18"/>
      <c r="F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</row>
    <row r="61" spans="1:51" x14ac:dyDescent="0.2">
      <c r="A61" s="18"/>
      <c r="B61" s="18"/>
      <c r="D61" s="18"/>
      <c r="E61" s="18"/>
      <c r="F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</row>
    <row r="62" spans="1:51" x14ac:dyDescent="0.2">
      <c r="A62" s="18"/>
      <c r="B62" s="18"/>
      <c r="D62" s="18"/>
      <c r="E62" s="18"/>
      <c r="F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</row>
    <row r="63" spans="1:51" x14ac:dyDescent="0.2">
      <c r="A63" s="18"/>
      <c r="B63" s="18"/>
      <c r="D63" s="18"/>
      <c r="E63" s="18"/>
      <c r="F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</row>
    <row r="64" spans="1:51" x14ac:dyDescent="0.2">
      <c r="A64" s="18"/>
      <c r="B64" s="18"/>
      <c r="D64" s="18"/>
      <c r="E64" s="18"/>
      <c r="F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</row>
    <row r="65" spans="1:51" x14ac:dyDescent="0.2">
      <c r="A65" s="18"/>
      <c r="B65" s="18"/>
      <c r="D65" s="18"/>
      <c r="E65" s="18"/>
      <c r="F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</row>
    <row r="66" spans="1:51" x14ac:dyDescent="0.2">
      <c r="A66" s="18"/>
      <c r="B66" s="18"/>
      <c r="D66" s="18"/>
      <c r="E66" s="18"/>
      <c r="F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</row>
    <row r="67" spans="1:51" x14ac:dyDescent="0.2">
      <c r="A67" s="18"/>
      <c r="B67" s="18"/>
      <c r="D67" s="18"/>
      <c r="E67" s="18"/>
      <c r="F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</row>
    <row r="68" spans="1:51" x14ac:dyDescent="0.2">
      <c r="A68" s="18"/>
      <c r="B68" s="18"/>
      <c r="D68" s="18"/>
      <c r="E68" s="18"/>
      <c r="F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</row>
    <row r="69" spans="1:51" x14ac:dyDescent="0.2">
      <c r="A69" s="18"/>
      <c r="B69" s="18"/>
      <c r="D69" s="18"/>
      <c r="E69" s="18"/>
      <c r="F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</row>
    <row r="70" spans="1:51" x14ac:dyDescent="0.2">
      <c r="A70" s="18"/>
      <c r="B70" s="18"/>
      <c r="D70" s="18"/>
      <c r="E70" s="18"/>
      <c r="F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</row>
    <row r="71" spans="1:51" x14ac:dyDescent="0.2">
      <c r="A71" s="18"/>
      <c r="B71" s="18"/>
      <c r="D71" s="18"/>
      <c r="E71" s="18"/>
      <c r="F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</row>
    <row r="72" spans="1:51" x14ac:dyDescent="0.2">
      <c r="A72" s="18"/>
      <c r="B72" s="18"/>
      <c r="D72" s="18"/>
      <c r="E72" s="18"/>
      <c r="F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</row>
    <row r="73" spans="1:51" x14ac:dyDescent="0.2">
      <c r="A73" s="18"/>
      <c r="B73" s="18"/>
      <c r="D73" s="18"/>
      <c r="E73" s="18"/>
      <c r="F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</row>
    <row r="74" spans="1:51" x14ac:dyDescent="0.2">
      <c r="A74" s="18"/>
      <c r="B74" s="18"/>
      <c r="D74" s="18"/>
      <c r="E74" s="18"/>
      <c r="F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</row>
    <row r="75" spans="1:51" x14ac:dyDescent="0.2">
      <c r="A75" s="18"/>
      <c r="B75" s="18"/>
      <c r="D75" s="18"/>
      <c r="E75" s="18"/>
      <c r="F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</row>
    <row r="76" spans="1:51" x14ac:dyDescent="0.2">
      <c r="A76" s="18"/>
      <c r="B76" s="18"/>
      <c r="D76" s="18"/>
      <c r="E76" s="18"/>
      <c r="F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</row>
    <row r="77" spans="1:51" x14ac:dyDescent="0.2">
      <c r="A77" s="18"/>
      <c r="B77" s="18"/>
      <c r="D77" s="18"/>
      <c r="E77" s="18"/>
      <c r="F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</row>
    <row r="78" spans="1:51" x14ac:dyDescent="0.2">
      <c r="A78" s="18"/>
      <c r="B78" s="18"/>
      <c r="D78" s="18"/>
      <c r="E78" s="18"/>
      <c r="F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</row>
    <row r="79" spans="1:51" x14ac:dyDescent="0.2">
      <c r="A79" s="18"/>
      <c r="B79" s="18"/>
      <c r="D79" s="18"/>
      <c r="E79" s="18"/>
      <c r="F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</row>
    <row r="80" spans="1:51" x14ac:dyDescent="0.2">
      <c r="A80" s="18"/>
      <c r="B80" s="18"/>
      <c r="D80" s="18"/>
      <c r="E80" s="18"/>
      <c r="F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</row>
    <row r="81" spans="1:51" x14ac:dyDescent="0.2">
      <c r="A81" s="18"/>
      <c r="B81" s="18"/>
      <c r="D81" s="18"/>
      <c r="E81" s="18"/>
      <c r="F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</row>
    <row r="82" spans="1:51" x14ac:dyDescent="0.2">
      <c r="A82" s="18"/>
      <c r="B82" s="18"/>
      <c r="D82" s="18"/>
      <c r="E82" s="18"/>
      <c r="F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</row>
    <row r="83" spans="1:51" x14ac:dyDescent="0.2">
      <c r="A83" s="18"/>
      <c r="B83" s="18"/>
      <c r="D83" s="18"/>
      <c r="E83" s="18"/>
      <c r="F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</row>
    <row r="84" spans="1:51" x14ac:dyDescent="0.2">
      <c r="A84" s="18"/>
      <c r="B84" s="18"/>
      <c r="D84" s="18"/>
      <c r="E84" s="18"/>
      <c r="F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</row>
    <row r="85" spans="1:51" x14ac:dyDescent="0.2">
      <c r="A85" s="18"/>
      <c r="B85" s="18"/>
      <c r="D85" s="18"/>
      <c r="E85" s="18"/>
      <c r="F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</row>
    <row r="86" spans="1:51" x14ac:dyDescent="0.2">
      <c r="A86" s="18"/>
      <c r="B86" s="18"/>
      <c r="D86" s="18"/>
      <c r="E86" s="18"/>
      <c r="F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</row>
    <row r="87" spans="1:51" x14ac:dyDescent="0.2">
      <c r="A87" s="18"/>
      <c r="B87" s="18"/>
      <c r="D87" s="18"/>
      <c r="E87" s="18"/>
      <c r="F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</row>
    <row r="88" spans="1:51" x14ac:dyDescent="0.2">
      <c r="A88" s="18"/>
      <c r="B88" s="18"/>
      <c r="D88" s="18"/>
      <c r="E88" s="18"/>
      <c r="F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</row>
    <row r="89" spans="1:51" x14ac:dyDescent="0.2">
      <c r="A89" s="18"/>
      <c r="B89" s="18"/>
      <c r="D89" s="18"/>
      <c r="E89" s="18"/>
      <c r="F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</row>
    <row r="90" spans="1:51" x14ac:dyDescent="0.2">
      <c r="A90" s="18"/>
      <c r="B90" s="18"/>
      <c r="D90" s="18"/>
      <c r="E90" s="18"/>
      <c r="F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</row>
    <row r="91" spans="1:51" x14ac:dyDescent="0.2">
      <c r="A91" s="18"/>
      <c r="B91" s="18"/>
      <c r="D91" s="18"/>
      <c r="E91" s="18"/>
      <c r="F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</row>
    <row r="92" spans="1:51" x14ac:dyDescent="0.2">
      <c r="A92" s="18"/>
      <c r="B92" s="18"/>
      <c r="D92" s="18"/>
      <c r="E92" s="18"/>
      <c r="F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</row>
    <row r="93" spans="1:51" x14ac:dyDescent="0.2">
      <c r="A93" s="18"/>
      <c r="B93" s="18"/>
      <c r="D93" s="18"/>
      <c r="E93" s="18"/>
      <c r="F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</row>
    <row r="94" spans="1:51" x14ac:dyDescent="0.2">
      <c r="A94" s="18"/>
      <c r="B94" s="18"/>
      <c r="D94" s="18"/>
      <c r="E94" s="18"/>
      <c r="F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</row>
    <row r="95" spans="1:51" x14ac:dyDescent="0.2">
      <c r="A95" s="18"/>
      <c r="B95" s="18"/>
      <c r="D95" s="18"/>
      <c r="E95" s="18"/>
      <c r="F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</row>
    <row r="96" spans="1:51" x14ac:dyDescent="0.2">
      <c r="A96" s="18"/>
      <c r="B96" s="18"/>
      <c r="D96" s="18"/>
      <c r="E96" s="18"/>
      <c r="F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</row>
    <row r="97" spans="1:51" x14ac:dyDescent="0.2">
      <c r="A97" s="18"/>
      <c r="B97" s="18"/>
      <c r="D97" s="18"/>
      <c r="E97" s="18"/>
      <c r="F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</row>
    <row r="98" spans="1:51" x14ac:dyDescent="0.2">
      <c r="A98" s="18"/>
      <c r="B98" s="18"/>
      <c r="D98" s="18"/>
      <c r="E98" s="18"/>
      <c r="F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</row>
    <row r="99" spans="1:51" x14ac:dyDescent="0.2">
      <c r="A99" s="18"/>
      <c r="B99" s="18"/>
      <c r="D99" s="18"/>
      <c r="E99" s="18"/>
      <c r="F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</row>
    <row r="100" spans="1:51" x14ac:dyDescent="0.2">
      <c r="A100" s="18"/>
      <c r="B100" s="18"/>
      <c r="D100" s="18"/>
      <c r="E100" s="18"/>
      <c r="F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</row>
    <row r="101" spans="1:51" x14ac:dyDescent="0.2">
      <c r="A101" s="18"/>
      <c r="B101" s="18"/>
      <c r="D101" s="18"/>
      <c r="E101" s="18"/>
      <c r="F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</row>
    <row r="102" spans="1:51" x14ac:dyDescent="0.2">
      <c r="A102" s="18"/>
      <c r="B102" s="18"/>
      <c r="D102" s="18"/>
      <c r="E102" s="18"/>
      <c r="F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</row>
    <row r="103" spans="1:51" x14ac:dyDescent="0.2">
      <c r="A103" s="18"/>
      <c r="B103" s="18"/>
      <c r="D103" s="18"/>
      <c r="E103" s="18"/>
      <c r="F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</row>
    <row r="104" spans="1:51" x14ac:dyDescent="0.2">
      <c r="A104" s="18"/>
      <c r="B104" s="18"/>
      <c r="D104" s="18"/>
      <c r="E104" s="18"/>
      <c r="F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</row>
    <row r="105" spans="1:51" x14ac:dyDescent="0.2">
      <c r="A105" s="18"/>
      <c r="B105" s="18"/>
      <c r="D105" s="18"/>
      <c r="E105" s="18"/>
      <c r="F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</row>
    <row r="106" spans="1:51" x14ac:dyDescent="0.2">
      <c r="A106" s="18"/>
      <c r="B106" s="18"/>
      <c r="D106" s="18"/>
      <c r="E106" s="18"/>
      <c r="F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</row>
    <row r="107" spans="1:51" x14ac:dyDescent="0.2">
      <c r="A107" s="18"/>
      <c r="B107" s="18"/>
      <c r="D107" s="18"/>
      <c r="E107" s="18"/>
      <c r="F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</row>
    <row r="108" spans="1:51" x14ac:dyDescent="0.2">
      <c r="A108" s="18"/>
      <c r="B108" s="18"/>
      <c r="D108" s="18"/>
      <c r="E108" s="18"/>
      <c r="F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</row>
    <row r="109" spans="1:51" x14ac:dyDescent="0.2">
      <c r="A109" s="18"/>
      <c r="B109" s="18"/>
      <c r="D109" s="18"/>
      <c r="E109" s="18"/>
      <c r="F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</row>
    <row r="110" spans="1:51" x14ac:dyDescent="0.2">
      <c r="A110" s="18"/>
      <c r="B110" s="18"/>
      <c r="D110" s="18"/>
      <c r="E110" s="18"/>
      <c r="F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</row>
    <row r="111" spans="1:51" x14ac:dyDescent="0.2">
      <c r="A111" s="18"/>
      <c r="B111" s="18"/>
      <c r="D111" s="18"/>
      <c r="E111" s="18"/>
      <c r="F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</row>
    <row r="112" spans="1:51" x14ac:dyDescent="0.2">
      <c r="A112" s="18"/>
      <c r="B112" s="18"/>
      <c r="D112" s="18"/>
      <c r="E112" s="18"/>
      <c r="F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</row>
    <row r="113" spans="1:51" x14ac:dyDescent="0.2">
      <c r="A113" s="18"/>
      <c r="B113" s="18"/>
      <c r="D113" s="18"/>
      <c r="E113" s="18"/>
      <c r="F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</row>
    <row r="114" spans="1:51" x14ac:dyDescent="0.2">
      <c r="A114" s="18"/>
      <c r="B114" s="18"/>
      <c r="D114" s="18"/>
      <c r="E114" s="18"/>
      <c r="F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</row>
    <row r="115" spans="1:51" x14ac:dyDescent="0.2">
      <c r="A115" s="18"/>
      <c r="B115" s="18"/>
      <c r="D115" s="18"/>
      <c r="E115" s="18"/>
      <c r="F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</row>
    <row r="116" spans="1:51" x14ac:dyDescent="0.2">
      <c r="A116" s="18"/>
      <c r="B116" s="18"/>
      <c r="D116" s="18"/>
      <c r="E116" s="18"/>
      <c r="F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</row>
    <row r="117" spans="1:51" x14ac:dyDescent="0.2">
      <c r="A117" s="18"/>
      <c r="B117" s="18"/>
      <c r="D117" s="18"/>
      <c r="E117" s="18"/>
      <c r="F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</row>
    <row r="118" spans="1:51" x14ac:dyDescent="0.2">
      <c r="A118" s="18"/>
      <c r="B118" s="18"/>
      <c r="D118" s="18"/>
      <c r="E118" s="18"/>
      <c r="F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</row>
    <row r="119" spans="1:51" x14ac:dyDescent="0.2">
      <c r="A119" s="18"/>
      <c r="B119" s="18"/>
      <c r="D119" s="18"/>
      <c r="E119" s="18"/>
      <c r="F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</row>
    <row r="120" spans="1:51" x14ac:dyDescent="0.2">
      <c r="A120" s="18"/>
      <c r="B120" s="18"/>
      <c r="D120" s="18"/>
      <c r="E120" s="18"/>
      <c r="F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</row>
    <row r="121" spans="1:51" x14ac:dyDescent="0.2">
      <c r="A121" s="18"/>
      <c r="B121" s="18"/>
      <c r="D121" s="18"/>
      <c r="E121" s="18"/>
      <c r="F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</row>
    <row r="122" spans="1:51" x14ac:dyDescent="0.2">
      <c r="A122" s="18"/>
      <c r="B122" s="18"/>
      <c r="D122" s="18"/>
      <c r="E122" s="18"/>
      <c r="F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</row>
    <row r="123" spans="1:51" x14ac:dyDescent="0.2">
      <c r="A123" s="18"/>
      <c r="B123" s="18"/>
      <c r="D123" s="18"/>
      <c r="E123" s="18"/>
      <c r="F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</row>
    <row r="124" spans="1:51" x14ac:dyDescent="0.2">
      <c r="A124" s="18"/>
      <c r="B124" s="18"/>
      <c r="D124" s="18"/>
      <c r="E124" s="18"/>
      <c r="F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</row>
    <row r="125" spans="1:51" x14ac:dyDescent="0.2">
      <c r="A125" s="18"/>
      <c r="B125" s="18"/>
      <c r="D125" s="18"/>
      <c r="E125" s="18"/>
      <c r="F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</row>
    <row r="126" spans="1:51" x14ac:dyDescent="0.2">
      <c r="A126" s="18"/>
      <c r="B126" s="18"/>
      <c r="D126" s="18"/>
      <c r="E126" s="18"/>
      <c r="F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</row>
  </sheetData>
  <mergeCells count="10">
    <mergeCell ref="G1:G27"/>
    <mergeCell ref="D9:E9"/>
    <mergeCell ref="D16:E16"/>
    <mergeCell ref="D22:E22"/>
    <mergeCell ref="A28:F32"/>
    <mergeCell ref="D1:F1"/>
    <mergeCell ref="A1:B1"/>
    <mergeCell ref="A18:B27"/>
    <mergeCell ref="F9:F27"/>
    <mergeCell ref="C1:C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Hera Moghtader Ahyaei</cp:lastModifiedBy>
  <dcterms:created xsi:type="dcterms:W3CDTF">2025-11-25T04:56:18Z</dcterms:created>
  <dcterms:modified xsi:type="dcterms:W3CDTF">2025-11-26T02:27:24Z</dcterms:modified>
</cp:coreProperties>
</file>